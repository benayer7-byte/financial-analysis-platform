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vidia Summary" sheetId="1" state="visible" r:id="rId1"/>
    <sheet name="Nvidia Charts" sheetId="2" state="visible" r:id="rId2"/>
    <sheet name="Nvidia Forecasting" sheetId="3" state="visible" r:id="rId3"/>
    <sheet name="Nvidia Valuation" sheetId="4" state="visible" r:id="rId4"/>
    <sheet name="Nvidia Rat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Nvidia Revenue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varyColors val="0"/>
        <ser>
          <idx val="0"/>
          <order val="0"/>
          <tx>
            <strRef>
              <f>'Nvidia Charts'!B1</f>
            </strRef>
          </tx>
          <spPr>
            <a:ln w="22000">
              <a:solidFill>
                <a:srgbClr val="1F77B4"/>
              </a:solidFill>
              <a:prstDash val="solid"/>
            </a:ln>
          </spPr>
          <marker>
            <symbol val="circle"/>
            <size val="7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cat>
            <numRef>
              <f>'Nvidia Charts'!$A$2:$A$5</f>
            </numRef>
          </cat>
          <val>
            <numRef>
              <f>'Nvidia Charts'!$B$2:$B$5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out"/>
        <minorTickMark val="none"/>
        <tickLblPos val="nextTo"/>
        <spPr>
          <a:ln w="9525">
            <a:solidFill>
              <a:srgbClr val="808080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  <max val="150"/>
          <min val="10"/>
        </scaling>
        <delete val="0"/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Revenue ($ Billions)</a:t>
                </a:r>
              </a:p>
            </rich>
          </tx>
        </title>
        <majorTickMark val="out"/>
        <minorTickMark val="none"/>
        <tickLblPos val="nextTo"/>
        <spPr>
          <a:ln w="9525">
            <a:solidFill>
              <a:srgbClr val="808080"/>
            </a:solidFill>
            <a:prstDash val="solid"/>
          </a:ln>
        </spPr>
        <crossAx val="10"/>
        <majorUnit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Nvidia Net Income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'Nvidia Charts'!C1</f>
            </strRef>
          </tx>
          <spPr>
            <a:ln w="22000">
              <a:solidFill>
                <a:srgbClr val="2CA02C"/>
              </a:solidFill>
              <a:prstDash val="solid"/>
            </a:ln>
          </spPr>
          <marker>
            <symbol val="circle"/>
            <size val="7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cat>
            <numRef>
              <f>'Nvidia Charts'!$A$2:$A$5</f>
            </numRef>
          </cat>
          <val>
            <numRef>
              <f>'Nvidia Charts'!$C$2:$C$5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Net Income ($ Billions)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Nvidia EPS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'Nvidia Charts'!D1</f>
            </strRef>
          </tx>
          <spPr>
            <a:ln w="22000">
              <a:solidFill>
                <a:srgbClr val="9467BD"/>
              </a:solidFill>
              <a:prstDash val="solid"/>
            </a:ln>
          </spPr>
          <marker>
            <symbol val="circle"/>
            <size val="7"/>
            <spPr>
              <a:solidFill>
                <a:srgbClr val="9467BD"/>
              </a:solidFill>
              <a:ln>
                <a:solidFill>
                  <a:srgbClr val="9467BD"/>
                </a:solidFill>
                <a:prstDash val="solid"/>
              </a:ln>
            </spPr>
          </marker>
          <cat>
            <numRef>
              <f>'Nvidia Charts'!$A$2:$A$5</f>
            </numRef>
          </cat>
          <val>
            <numRef>
              <f>'Nvidia Charts'!$D$2:$D$5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EPS ($)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Nvidia Stock Price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'Nvidia Charts'!E1</f>
            </strRef>
          </tx>
          <spPr>
            <a:ln w="22000">
              <a:solidFill>
                <a:srgbClr val="FF7F0E"/>
              </a:solidFill>
              <a:prstDash val="solid"/>
            </a:ln>
          </spPr>
          <marker>
            <symbol val="circle"/>
            <size val="7"/>
            <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spPr>
          </marker>
          <cat>
            <numRef>
              <f>'Nvidia Charts'!$A$2:$A$5</f>
            </numRef>
          </cat>
          <val>
            <numRef>
              <f>'Nvidia Charts'!$E$2:$E$5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Stock Price ($)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Nvidia Revenue Forecast (Avg Growth Rate)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'Nvidia Forecasting'!B1</f>
            </strRef>
          </tx>
          <spPr>
            <a:ln w="22000">
              <a:solidFill>
                <a:srgbClr val="1F77B4"/>
              </a:solidFill>
              <a:prstDash val="solid"/>
            </a:ln>
          </spPr>
          <marker>
            <symbol val="circle"/>
            <size val="7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cat>
            <numRef>
              <f>'Nvidia Forecasting'!$A$2:$A$7</f>
            </numRef>
          </cat>
          <val>
            <numRef>
              <f>'Nvidia Forecasting'!$B$2:$B$7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 Billions)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Nvidia Revenue Forecast (Linear Trend)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'Nvidia Forecasting'!C1</f>
            </strRef>
          </tx>
          <spPr>
            <a:ln w="22000">
              <a:solidFill>
                <a:srgbClr val="D62728"/>
              </a:solidFill>
              <a:prstDash val="solid"/>
            </a:ln>
          </spPr>
          <marker>
            <symbol val="circle"/>
            <size val="7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cat>
            <numRef>
              <f>'Nvidia Forecasting'!$A$2:$A$7</f>
            </numRef>
          </cat>
          <val>
            <numRef>
              <f>'Nvidia Forecasting'!$C$2:$C$7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 Billions)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38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57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NVDASummary" displayName="NVDASummary" ref="A1:F7" headerRowCount="1">
  <autoFilter ref="A1:F7"/>
  <tableColumns count="6">
    <tableColumn id="1" name="Nvidia Financial Summary"/>
    <tableColumn id="2" name="2022"/>
    <tableColumn id="3" name="2023"/>
    <tableColumn id="4" name="2024"/>
    <tableColumn id="5" name="2025"/>
    <tableColumn id="6" name="Tren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NVDAValuation" displayName="NVDAValuation" ref="A1:E5" headerRowCount="1">
  <autoFilter ref="A1:E5"/>
  <tableColumns count="5">
    <tableColumn id="1" name="Valuation for Nvidia Inc."/>
    <tableColumn id="2" name="2022"/>
    <tableColumn id="3" name="2023"/>
    <tableColumn id="4" name="2024"/>
    <tableColumn id="5" name="20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NVDARatios" displayName="NVDARatios" ref="A1:E7" headerRowCount="1">
  <autoFilter ref="A1:E7"/>
  <tableColumns count="5">
    <tableColumn id="1" name="Ratios for Nvidia Inc."/>
    <tableColumn id="2" name="2022"/>
    <tableColumn id="3" name="2023"/>
    <tableColumn id="4" name="2024"/>
    <tableColumn id="5" name="20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Nvidia Financial Summary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  <c r="F1" s="2" t="inlineStr">
        <is>
          <t>Trend</t>
        </is>
      </c>
    </row>
    <row r="2">
      <c r="A2" s="2" t="inlineStr">
        <is>
          <t>Revenue Growth</t>
        </is>
      </c>
      <c r="B2" s="4" t="inlineStr"/>
      <c r="C2" s="4" t="n">
        <v>0.22</v>
      </c>
      <c r="D2" s="4" t="n">
        <v>125.85</v>
      </c>
      <c r="E2" s="4" t="n">
        <v>114.2</v>
      </c>
      <c r="F2" s="5" t="inlineStr">
        <is>
          <t>→</t>
        </is>
      </c>
    </row>
    <row r="3">
      <c r="A3" s="2" t="inlineStr">
        <is>
          <t>Net Margin</t>
        </is>
      </c>
      <c r="B3" s="4" t="n">
        <v>36.23</v>
      </c>
      <c r="C3" s="4" t="n">
        <v>16.19</v>
      </c>
      <c r="D3" s="4" t="n">
        <v>48.85</v>
      </c>
      <c r="E3" s="4" t="n">
        <v>55.85</v>
      </c>
      <c r="F3" s="5" t="inlineStr">
        <is>
          <t>↑</t>
        </is>
      </c>
    </row>
    <row r="4">
      <c r="A4" s="2" t="inlineStr">
        <is>
          <t>ROE</t>
        </is>
      </c>
      <c r="B4" s="4" t="n">
        <v>36.65</v>
      </c>
      <c r="C4" s="4" t="n">
        <v>19.76</v>
      </c>
      <c r="D4" s="4" t="n">
        <v>69.23999999999999</v>
      </c>
      <c r="E4" s="4" t="n">
        <v>91.87</v>
      </c>
      <c r="F4" s="5" t="inlineStr">
        <is>
          <t>↑</t>
        </is>
      </c>
    </row>
    <row r="5">
      <c r="A5" s="2" t="inlineStr">
        <is>
          <t>Free Cash Flow ($B)</t>
        </is>
      </c>
      <c r="B5" s="3" t="n">
        <v>8.130000000000001</v>
      </c>
      <c r="C5" s="3" t="n">
        <v>3.81</v>
      </c>
      <c r="D5" s="3" t="n">
        <v>27.02</v>
      </c>
      <c r="E5" s="3" t="n">
        <v>60.85</v>
      </c>
      <c r="F5" s="5" t="inlineStr">
        <is>
          <t>↑</t>
        </is>
      </c>
    </row>
    <row r="6">
      <c r="A6" s="2" t="inlineStr">
        <is>
          <t>Debt to Equity</t>
        </is>
      </c>
      <c r="B6" s="3" t="n">
        <v>0.66</v>
      </c>
      <c r="C6" s="3" t="n">
        <v>0.86</v>
      </c>
      <c r="D6" s="3" t="n">
        <v>0.53</v>
      </c>
      <c r="E6" s="3" t="n">
        <v>0.41</v>
      </c>
      <c r="F6" s="5" t="inlineStr">
        <is>
          <t>↓</t>
        </is>
      </c>
    </row>
    <row r="7">
      <c r="A7" s="2" t="inlineStr">
        <is>
          <t>P/E Ratio</t>
        </is>
      </c>
      <c r="B7" s="3" t="n">
        <v>58.38</v>
      </c>
      <c r="C7" s="3" t="n">
        <v>119.53</v>
      </c>
      <c r="D7" s="3" t="n">
        <v>51.19</v>
      </c>
      <c r="E7" s="3" t="n">
        <v>48.44</v>
      </c>
      <c r="F7" s="5" t="inlineStr">
        <is>
          <t>↓</t>
        </is>
      </c>
    </row>
    <row r="9">
      <c r="A9" s="6" t="inlineStr">
        <is>
          <t>Category</t>
        </is>
      </c>
      <c r="B9" s="6" t="inlineStr">
        <is>
          <t>2025 Value</t>
        </is>
      </c>
      <c r="C9" s="6" t="inlineStr">
        <is>
          <t>Score</t>
        </is>
      </c>
    </row>
    <row r="10">
      <c r="A10" s="5" t="inlineStr">
        <is>
          <t>Profitability (Net Margin)</t>
        </is>
      </c>
      <c r="B10" s="5" t="n">
        <v>55.85</v>
      </c>
      <c r="C10" s="5" t="n">
        <v>10</v>
      </c>
    </row>
    <row r="11">
      <c r="A11" s="5" t="inlineStr">
        <is>
          <t>Profitability (ROE)</t>
        </is>
      </c>
      <c r="B11" s="5" t="n">
        <v>91.87</v>
      </c>
      <c r="C11" s="5" t="n">
        <v>10</v>
      </c>
    </row>
    <row r="12">
      <c r="A12" s="5" t="inlineStr">
        <is>
          <t>Cash Flow (FCF Margin)</t>
        </is>
      </c>
      <c r="B12" s="5" t="n">
        <v>46.63</v>
      </c>
      <c r="C12" s="5" t="n">
        <v>10</v>
      </c>
    </row>
    <row r="13">
      <c r="A13" s="5" t="inlineStr">
        <is>
          <t>Growth (Revenue Growth)</t>
        </is>
      </c>
      <c r="B13" s="5" t="n">
        <v>114.2</v>
      </c>
      <c r="C13" s="5" t="n">
        <v>10</v>
      </c>
    </row>
    <row r="14">
      <c r="A14" s="5" t="inlineStr">
        <is>
          <t>Financial Risk (Debt to Equity)</t>
        </is>
      </c>
      <c r="B14" s="5" t="n">
        <v>0.41</v>
      </c>
      <c r="C14" s="5" t="n">
        <v>10</v>
      </c>
    </row>
    <row r="15">
      <c r="A15" s="5" t="inlineStr">
        <is>
          <t>Valuation (P/E Ratio)</t>
        </is>
      </c>
      <c r="B15" s="5" t="n">
        <v>48.44</v>
      </c>
      <c r="C15" s="5" t="n">
        <v>2</v>
      </c>
    </row>
    <row r="16">
      <c r="A16" s="5" t="inlineStr">
        <is>
          <t>Liquidity (Current Ratio)</t>
        </is>
      </c>
      <c r="B16" s="5" t="n">
        <v>4.44</v>
      </c>
      <c r="C16" s="5" t="n">
        <v>10</v>
      </c>
    </row>
    <row r="17">
      <c r="A17" s="7" t="inlineStr">
        <is>
          <t>Overall Score</t>
        </is>
      </c>
      <c r="B17" s="7" t="n"/>
      <c r="C17" s="7" t="inlineStr">
        <is>
          <t>8.8/10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Revenue</t>
        </is>
      </c>
      <c r="C1" t="inlineStr">
        <is>
          <t>net_income</t>
        </is>
      </c>
      <c r="D1" t="inlineStr">
        <is>
          <t>diluted_eps</t>
        </is>
      </c>
      <c r="E1" t="inlineStr">
        <is>
          <t>stock_price</t>
        </is>
      </c>
    </row>
    <row r="2">
      <c r="A2" t="n">
        <v>2022</v>
      </c>
      <c r="B2" t="n">
        <v>26.914</v>
      </c>
      <c r="C2" t="n">
        <v>9.752000000000001</v>
      </c>
      <c r="D2" t="n">
        <v>0.39</v>
      </c>
      <c r="E2" t="n">
        <v>22.77</v>
      </c>
    </row>
    <row r="3">
      <c r="A3" t="n">
        <v>2023</v>
      </c>
      <c r="B3" t="n">
        <v>26.974</v>
      </c>
      <c r="C3" t="n">
        <v>4.368</v>
      </c>
      <c r="D3" t="n">
        <v>0.17</v>
      </c>
      <c r="E3" t="n">
        <v>20.32</v>
      </c>
    </row>
    <row r="4">
      <c r="A4" t="n">
        <v>2024</v>
      </c>
      <c r="B4" t="n">
        <v>60.922</v>
      </c>
      <c r="C4" t="n">
        <v>29.76</v>
      </c>
      <c r="D4" t="n">
        <v>1.19</v>
      </c>
      <c r="E4" t="n">
        <v>60.92</v>
      </c>
    </row>
    <row r="5">
      <c r="A5" t="n">
        <v>2025</v>
      </c>
      <c r="B5" t="n">
        <v>130.497</v>
      </c>
      <c r="C5" t="n">
        <v>72.88</v>
      </c>
      <c r="D5" t="n">
        <v>2.94</v>
      </c>
      <c r="E5" t="n">
        <v>142.41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Avg Growth Forecast</t>
        </is>
      </c>
      <c r="C1" t="inlineStr">
        <is>
          <t>Linear Trend Forecast</t>
        </is>
      </c>
    </row>
    <row r="2">
      <c r="A2" t="n">
        <v>2022</v>
      </c>
      <c r="B2" t="n">
        <v>26.9</v>
      </c>
      <c r="C2" t="n">
        <v>26.9</v>
      </c>
    </row>
    <row r="3">
      <c r="A3" t="n">
        <v>2023</v>
      </c>
      <c r="B3" t="n">
        <v>27</v>
      </c>
      <c r="C3" t="n">
        <v>27</v>
      </c>
    </row>
    <row r="4">
      <c r="A4" t="n">
        <v>2024</v>
      </c>
      <c r="B4" t="n">
        <v>60.9</v>
      </c>
      <c r="C4" t="n">
        <v>60.9</v>
      </c>
    </row>
    <row r="5">
      <c r="A5" t="n">
        <v>2025</v>
      </c>
      <c r="B5" t="n">
        <v>130.5</v>
      </c>
      <c r="C5" t="n">
        <v>130.5</v>
      </c>
    </row>
    <row r="6">
      <c r="A6" t="n">
        <v>2026</v>
      </c>
      <c r="B6" t="n">
        <v>235</v>
      </c>
      <c r="C6" t="n">
        <v>147.5</v>
      </c>
    </row>
    <row r="7">
      <c r="A7" t="n">
        <v>2027</v>
      </c>
      <c r="B7" t="n">
        <v>423.3</v>
      </c>
      <c r="C7" t="n">
        <v>182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8" customWidth="1" min="3" max="3"/>
    <col width="7" customWidth="1" min="4" max="4"/>
    <col width="7" customWidth="1" min="5" max="5"/>
  </cols>
  <sheetData>
    <row r="1">
      <c r="A1" s="1" t="inlineStr">
        <is>
          <t>Valuation for Nvidia Inc.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</row>
    <row r="2">
      <c r="A2" s="2" t="inlineStr">
        <is>
          <t>P/E Ratio</t>
        </is>
      </c>
      <c r="B2" s="3" t="n">
        <v>58.38</v>
      </c>
      <c r="C2" s="3" t="n">
        <v>119.53</v>
      </c>
      <c r="D2" s="3" t="n">
        <v>51.19</v>
      </c>
      <c r="E2" s="3" t="n">
        <v>48.44</v>
      </c>
    </row>
    <row r="3">
      <c r="A3" s="2" t="inlineStr">
        <is>
          <t>P/S Ratio</t>
        </is>
      </c>
      <c r="B3" s="3" t="n">
        <v>21.45</v>
      </c>
      <c r="C3" s="3" t="n">
        <v>18.89</v>
      </c>
      <c r="D3" s="3" t="n">
        <v>24.94</v>
      </c>
      <c r="E3" s="3" t="n">
        <v>27.07</v>
      </c>
    </row>
    <row r="4">
      <c r="A4" s="2" t="inlineStr">
        <is>
          <t>Price-to-Book</t>
        </is>
      </c>
      <c r="B4" s="3" t="n">
        <v>21.69</v>
      </c>
      <c r="C4" s="3" t="n">
        <v>23.05</v>
      </c>
      <c r="D4" s="3" t="n">
        <v>35.35</v>
      </c>
      <c r="E4" s="3" t="n">
        <v>44.53</v>
      </c>
    </row>
    <row r="5">
      <c r="A5" s="2" t="inlineStr">
        <is>
          <t>FCF Yield</t>
        </is>
      </c>
      <c r="B5" s="4" t="n">
        <v>1</v>
      </c>
      <c r="C5" s="4" t="n">
        <v>1</v>
      </c>
      <c r="D5" s="4" t="n">
        <v>2</v>
      </c>
      <c r="E5" s="4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Ratios for Nvidia Inc.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</row>
    <row r="2">
      <c r="A2" s="2" t="inlineStr">
        <is>
          <t>Current Ratio</t>
        </is>
      </c>
      <c r="B2" s="3" t="n">
        <v>6.65</v>
      </c>
      <c r="C2" s="3" t="n">
        <v>3.52</v>
      </c>
      <c r="D2" s="3" t="n">
        <v>4.17</v>
      </c>
      <c r="E2" s="3" t="n">
        <v>4.44</v>
      </c>
    </row>
    <row r="3">
      <c r="A3" s="2" t="inlineStr">
        <is>
          <t>Net Profit Margin</t>
        </is>
      </c>
      <c r="B3" s="4" t="n">
        <v>36.23</v>
      </c>
      <c r="C3" s="4" t="n">
        <v>16.19</v>
      </c>
      <c r="D3" s="4" t="n">
        <v>48.85</v>
      </c>
      <c r="E3" s="4" t="n">
        <v>55.85</v>
      </c>
    </row>
    <row r="4">
      <c r="A4" s="2" t="inlineStr">
        <is>
          <t>Return on Assets (ROA)</t>
        </is>
      </c>
      <c r="B4" s="4" t="n">
        <v>22.07</v>
      </c>
      <c r="C4" s="4" t="n">
        <v>10.61</v>
      </c>
      <c r="D4" s="4" t="n">
        <v>45.28</v>
      </c>
      <c r="E4" s="4" t="n">
        <v>65.3</v>
      </c>
    </row>
    <row r="5">
      <c r="A5" s="2" t="inlineStr">
        <is>
          <t>Return on Equity (ROE)</t>
        </is>
      </c>
      <c r="B5" s="4" t="n">
        <v>36.65</v>
      </c>
      <c r="C5" s="4" t="n">
        <v>19.76</v>
      </c>
      <c r="D5" s="4" t="n">
        <v>69.23999999999999</v>
      </c>
      <c r="E5" s="4" t="n">
        <v>91.87</v>
      </c>
    </row>
    <row r="6">
      <c r="A6" s="2" t="inlineStr">
        <is>
          <t>Debt to Equity Ratio</t>
        </is>
      </c>
      <c r="B6" s="3" t="n">
        <v>0.66</v>
      </c>
      <c r="C6" s="3" t="n">
        <v>0.86</v>
      </c>
      <c r="D6" s="3" t="n">
        <v>0.53</v>
      </c>
      <c r="E6" s="3" t="n">
        <v>0.41</v>
      </c>
    </row>
    <row r="7">
      <c r="A7" s="2" t="inlineStr">
        <is>
          <t>Operating Cash Flow Ratio</t>
        </is>
      </c>
      <c r="B7" s="3" t="n">
        <v>2.1</v>
      </c>
      <c r="C7" s="3" t="n">
        <v>0.86</v>
      </c>
      <c r="D7" s="3" t="n">
        <v>2.64</v>
      </c>
      <c r="E7" s="3" t="n">
        <v>3.55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2026-09-09T20:24:14Z</dcterms:created>
  <dcterms:modified xsi:type="dcterms:W3CDTF">2026-09-09T20:24:14Z</dcterms:modified>
</cp:coreProperties>
</file>