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825" yWindow="2017" windowWidth="11872" windowHeight="9308" tabRatio="600" firstSheet="0" activeTab="1" autoFilterDateGrouping="1"/>
  </bookViews>
  <sheets>
    <sheet name="Ratios" sheetId="1" state="visible" r:id="rId1"/>
    <sheet name="Charts" sheetId="2" state="visible" r:id="rId2"/>
  </sheets>
  <definedNames/>
  <calcPr calcId="0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2" fontId="0" fillId="0" borderId="0" pivotButton="0" quotePrefix="0" xfId="0"/>
    <xf numFmtId="10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Revenue and Net Income over Time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strRef>
              <f>Charts!$O$1</f>
              <strCache>
                <ptCount val="1"/>
                <pt idx="0">
                  <v>Revenue</v>
                </pt>
              </strCache>
            </strRef>
          </tx>
          <spPr>
            <a:ln w="20000">
              <a:prstDash val="solid"/>
            </a:ln>
          </spPr>
          <marker>
            <symbol val="circle"/>
            <size val="7"/>
            <spPr>
              <a:ln>
                <a:prstDash val="solid"/>
              </a:ln>
            </spPr>
          </marker>
          <cat>
            <numRef>
              <f>Charts!$N$2:$N$5</f>
              <numCache>
                <formatCode>General</formatCod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</v>
                </pt>
              </numCache>
            </numRef>
          </cat>
          <val>
            <numRef>
              <f>Charts!$O$2:$O$5</f>
              <numCache>
                <formatCode>General</formatCode>
                <ptCount val="4"/>
                <pt idx="0">
                  <v>394328</v>
                </pt>
                <pt idx="1">
                  <v>383285</v>
                </pt>
                <pt idx="2">
                  <v>391035</v>
                </pt>
                <pt idx="3">
                  <v>416161</v>
                </pt>
              </numCache>
            </numRef>
          </val>
          <smooth val="1"/>
        </ser>
        <ser>
          <idx val="1"/>
          <order val="1"/>
          <tx>
            <strRef>
              <f>Charts!$P$1</f>
              <strCache>
                <ptCount val="1"/>
                <pt idx="0">
                  <v>Net Income</v>
                </pt>
              </strCache>
            </strRef>
          </tx>
          <spPr>
            <a:ln w="20000">
              <a:prstDash val="solid"/>
            </a:ln>
          </spPr>
          <marker>
            <symbol val="circle"/>
            <size val="7"/>
            <spPr>
              <a:ln>
                <a:prstDash val="solid"/>
              </a:ln>
            </spPr>
          </marker>
          <cat>
            <numRef>
              <f>Charts!$N$2:$N$5</f>
              <numCache>
                <formatCode>General</formatCod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</v>
                </pt>
              </numCache>
            </numRef>
          </cat>
          <val>
            <numRef>
              <f>Charts!$P$2:$P$5</f>
              <numCache>
                <formatCode>General</formatCode>
                <ptCount val="4"/>
                <pt idx="0">
                  <v>99803</v>
                </pt>
                <pt idx="1">
                  <v>96995</v>
                </pt>
                <pt idx="2">
                  <v>93736</v>
                </pt>
                <pt idx="3">
                  <v>112010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0"/>
        <axId val="100"/>
      </lineChart>
      <catAx>
        <axId val="10"/>
        <scaling>
          <orientation val="minMax"/>
        </scaling>
        <delete val="0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None</a:t>
                </a:r>
              </a:p>
              <a:p>
                <a:pPr>
                  <a:defRPr/>
                </a:pPr>
                <a:r>
                  <a:rPr lang="en-US"/>
                  <a:t>Year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low"/>
        <txPr>
          <a:bodyPr/>
          <a:lstStyle/>
          <a:p>
            <a:pPr>
              <a:defRPr sz="800"/>
            </a:pPr>
            <a:r>
              <a:t/>
            </a:r>
            <a:endParaRPr lang="en-US"/>
          </a:p>
        </txPr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0"/>
        <axPos val="l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Amount in USD(Billions)</a:t>
                </a:r>
              </a:p>
              <a:p>
                <a:pPr>
                  <a:defRPr/>
                </a:pPr>
                <a:r>
                  <a:rPr lang="en-US"/>
                  <a:t>None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txPr>
          <a:bodyPr/>
          <a:lstStyle/>
          <a:p>
            <a:pPr>
              <a:defRPr sz="800"/>
            </a:pPr>
            <a:r>
              <a:t/>
            </a:r>
            <a:endParaRPr lang="en-US"/>
          </a:p>
        </txPr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Revenue and Net Income over Time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strRef>
              <f>Charts!$O$1</f>
              <strCache>
                <ptCount val="1"/>
                <pt idx="0">
                  <v>Revenue</v>
                </pt>
              </strCache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Charts!$N$2:$N$5</f>
              <numCache>
                <formatCode>General</formatCod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</v>
                </pt>
              </numCache>
            </numRef>
          </cat>
          <val>
            <numRef>
              <f>Charts!$O$2:$O$5</f>
              <numCache>
                <formatCode>General</formatCode>
                <ptCount val="4"/>
                <pt idx="0">
                  <v>394328</v>
                </pt>
                <pt idx="1">
                  <v>383285</v>
                </pt>
                <pt idx="2">
                  <v>391035</v>
                </pt>
                <pt idx="3">
                  <v>416161</v>
                </pt>
              </numCache>
            </numRef>
          </val>
          <smooth val="1"/>
        </ser>
        <ser>
          <idx val="1"/>
          <order val="1"/>
          <tx>
            <strRef>
              <f>Charts!$P$1</f>
              <strCache>
                <ptCount val="1"/>
                <pt idx="0">
                  <v>Net Income</v>
                </pt>
              </strCache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Charts!$N$2:$N$5</f>
              <numCache>
                <formatCode>General</formatCod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</v>
                </pt>
              </numCache>
            </numRef>
          </cat>
          <val>
            <numRef>
              <f>Charts!$P$2:$P$5</f>
              <numCache>
                <formatCode>General</formatCode>
                <ptCount val="4"/>
                <pt idx="0">
                  <v>99803</v>
                </pt>
                <pt idx="1">
                  <v>96995</v>
                </pt>
                <pt idx="2">
                  <v>93736</v>
                </pt>
                <pt idx="3">
                  <v>112010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0"/>
        <axId val="100"/>
      </lineChart>
      <catAx>
        <axId val="10"/>
        <scaling>
          <orientation val="minMax"/>
        </scaling>
        <delete val="1"/>
        <axPos val="b"/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Revenue and Net Income over Time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strRef>
              <f>Charts!$O$2</f>
              <strCache>
                <ptCount val="1"/>
                <pt idx="0">
                  <v>394328</v>
                </pt>
              </strCache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Charts!$N$2:$N$5</f>
              <numCache>
                <formatCode>General</formatCod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</v>
                </pt>
              </numCache>
            </numRef>
          </cat>
          <val>
            <numRef>
              <f>Charts!$O$3:$O$5</f>
              <numCache>
                <formatCode>General</formatCode>
                <ptCount val="3"/>
                <pt idx="0">
                  <v>383285</v>
                </pt>
                <pt idx="1">
                  <v>391035</v>
                </pt>
                <pt idx="2">
                  <v>416161</v>
                </pt>
              </numCache>
            </numRef>
          </val>
          <smooth val="1"/>
        </ser>
        <ser>
          <idx val="1"/>
          <order val="1"/>
          <tx>
            <strRef>
              <f>Charts!$P$2</f>
              <strCache>
                <ptCount val="1"/>
                <pt idx="0">
                  <v>99803</v>
                </pt>
              </strCache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Charts!$N$2:$N$5</f>
              <numCache>
                <formatCode>General</formatCod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</v>
                </pt>
              </numCache>
            </numRef>
          </cat>
          <val>
            <numRef>
              <f>Charts!$P$3:$P$5</f>
              <numCache>
                <formatCode>General</formatCode>
                <ptCount val="3"/>
                <pt idx="0">
                  <v>96995</v>
                </pt>
                <pt idx="1">
                  <v>93736</v>
                </pt>
                <pt idx="2">
                  <v>112010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0"/>
        <axId val="100"/>
      </lineChart>
      <catAx>
        <axId val="10"/>
        <scaling>
          <orientation val="minMax"/>
        </scaling>
        <delete val="1"/>
        <axPos val="b"/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Revenue and Net Income over Time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strRef>
              <f>Charts!$O$2</f>
              <strCache>
                <ptCount val="1"/>
                <pt idx="0">
                  <v>394328</v>
                </pt>
              </strCache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Charts!$N$2:$N$5</f>
              <numCache>
                <formatCode>General</formatCod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</v>
                </pt>
              </numCache>
            </numRef>
          </cat>
          <val>
            <numRef>
              <f>Charts!$O$3:$O$5</f>
              <numCache>
                <formatCode>General</formatCode>
                <ptCount val="3"/>
                <pt idx="0">
                  <v>383285</v>
                </pt>
                <pt idx="1">
                  <v>391035</v>
                </pt>
                <pt idx="2">
                  <v>416161</v>
                </pt>
              </numCache>
            </numRef>
          </val>
          <smooth val="1"/>
        </ser>
        <ser>
          <idx val="1"/>
          <order val="1"/>
          <tx>
            <strRef>
              <f>Charts!$P$2</f>
              <strCache>
                <ptCount val="1"/>
                <pt idx="0">
                  <v>99803</v>
                </pt>
              </strCache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Charts!$N$2:$N$5</f>
              <numCache>
                <formatCode>General</formatCod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</v>
                </pt>
              </numCache>
            </numRef>
          </cat>
          <val>
            <numRef>
              <f>Charts!$P$3:$P$5</f>
              <numCache>
                <formatCode>General</formatCode>
                <ptCount val="3"/>
                <pt idx="0">
                  <v>96995</v>
                </pt>
                <pt idx="1">
                  <v>93736</v>
                </pt>
                <pt idx="2">
                  <v>112010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0"/>
        <axId val="100"/>
      </lineChart>
      <catAx>
        <axId val="10"/>
        <scaling>
          <orientation val="minMax"/>
        </scaling>
        <delete val="1"/>
        <axPos val="b"/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Revenue and Net Income over Time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strRef>
              <f>Charts!$O$2</f>
              <strCache>
                <ptCount val="1"/>
                <pt idx="0">
                  <v>394328</v>
                </pt>
              </strCache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Charts!$N$2:$N$5</f>
              <numCache>
                <formatCode>General</formatCod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</v>
                </pt>
              </numCache>
            </numRef>
          </cat>
          <val>
            <numRef>
              <f>Charts!$O$3:$O$5</f>
              <numCache>
                <formatCode>General</formatCode>
                <ptCount val="3"/>
                <pt idx="0">
                  <v>383285</v>
                </pt>
                <pt idx="1">
                  <v>391035</v>
                </pt>
                <pt idx="2">
                  <v>416161</v>
                </pt>
              </numCache>
            </numRef>
          </val>
          <smooth val="1"/>
        </ser>
        <ser>
          <idx val="1"/>
          <order val="1"/>
          <tx>
            <strRef>
              <f>Charts!$P$2</f>
              <strCache>
                <ptCount val="1"/>
                <pt idx="0">
                  <v>99803</v>
                </pt>
              </strCache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Charts!$N$2:$N$5</f>
              <numCache>
                <formatCode>General</formatCod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</v>
                </pt>
              </numCache>
            </numRef>
          </cat>
          <val>
            <numRef>
              <f>Charts!$P$3:$P$5</f>
              <numCache>
                <formatCode>General</formatCode>
                <ptCount val="3"/>
                <pt idx="0">
                  <v>96995</v>
                </pt>
                <pt idx="1">
                  <v>93736</v>
                </pt>
                <pt idx="2">
                  <v>112010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0"/>
        <axId val="100"/>
      </line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Year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USD (Millions)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Revenue and Net Income over Time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strRef>
              <f>Charts!$O$2</f>
              <strCache>
                <ptCount val="1"/>
                <pt idx="0">
                  <v>394328</v>
                </pt>
              </strCache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Charts!$N$2:$N$5</f>
              <numCache>
                <formatCode>General</formatCod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</v>
                </pt>
              </numCache>
            </numRef>
          </cat>
          <val>
            <numRef>
              <f>Charts!$O$3:$O$5</f>
              <numCache>
                <formatCode>General</formatCode>
                <ptCount val="3"/>
                <pt idx="0">
                  <v>383285</v>
                </pt>
                <pt idx="1">
                  <v>391035</v>
                </pt>
                <pt idx="2">
                  <v>416161</v>
                </pt>
              </numCache>
            </numRef>
          </val>
          <smooth val="1"/>
        </ser>
        <ser>
          <idx val="1"/>
          <order val="1"/>
          <tx>
            <strRef>
              <f>Charts!$P$2</f>
              <strCache>
                <ptCount val="1"/>
                <pt idx="0">
                  <v>99803</v>
                </pt>
              </strCache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Charts!$N$2:$N$5</f>
              <numCache>
                <formatCode>General</formatCod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</v>
                </pt>
              </numCache>
            </numRef>
          </cat>
          <val>
            <numRef>
              <f>Charts!$P$3:$P$5</f>
              <numCache>
                <formatCode>General</formatCode>
                <ptCount val="3"/>
                <pt idx="0">
                  <v>96995</v>
                </pt>
                <pt idx="1">
                  <v>93736</v>
                </pt>
                <pt idx="2">
                  <v>112010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0"/>
        <axId val="100"/>
      </line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Year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USD (Millions)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Revenue and Net Income over Time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strRef>
              <f>Charts!$O$2</f>
              <strCache>
                <ptCount val="1"/>
                <pt idx="0">
                  <v>394328</v>
                </pt>
              </strCache>
            </strRef>
          </tx>
          <spPr>
            <a:ln>
              <a:prstDash val="solid"/>
            </a:ln>
          </spPr>
          <marker>
            <symbol val="circle"/>
            <size val="7"/>
            <spPr>
              <a:ln>
                <a:prstDash val="solid"/>
              </a:ln>
            </spPr>
          </marker>
          <cat>
            <numRef>
              <f>Charts!$N$2:$N$5</f>
              <numCache>
                <formatCode>General</formatCod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</v>
                </pt>
              </numCache>
            </numRef>
          </cat>
          <val>
            <numRef>
              <f>Charts!$O$3:$O$5</f>
              <numCache>
                <formatCode>General</formatCode>
                <ptCount val="3"/>
                <pt idx="0">
                  <v>383285</v>
                </pt>
                <pt idx="1">
                  <v>391035</v>
                </pt>
                <pt idx="2">
                  <v>416161</v>
                </pt>
              </numCache>
            </numRef>
          </val>
          <smooth val="1"/>
        </ser>
        <ser>
          <idx val="1"/>
          <order val="1"/>
          <tx>
            <strRef>
              <f>Charts!$P$2</f>
              <strCache>
                <ptCount val="1"/>
                <pt idx="0">
                  <v>99803</v>
                </pt>
              </strCache>
            </strRef>
          </tx>
          <spPr>
            <a:ln>
              <a:prstDash val="solid"/>
            </a:ln>
          </spPr>
          <marker>
            <symbol val="circle"/>
            <size val="7"/>
            <spPr>
              <a:ln>
                <a:prstDash val="solid"/>
              </a:ln>
            </spPr>
          </marker>
          <cat>
            <numRef>
              <f>Charts!$N$2:$N$5</f>
              <numCache>
                <formatCode>General</formatCod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</v>
                </pt>
              </numCache>
            </numRef>
          </cat>
          <val>
            <numRef>
              <f>Charts!$P$3:$P$5</f>
              <numCache>
                <formatCode>General</formatCode>
                <ptCount val="3"/>
                <pt idx="0">
                  <v>96995</v>
                </pt>
                <pt idx="1">
                  <v>93736</v>
                </pt>
                <pt idx="2">
                  <v>112010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0"/>
        <axId val="100"/>
      </line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Year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USD (Millions)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Revenue and Net Income over Time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strRef>
              <f>Charts!$O$2</f>
              <strCache>
                <ptCount val="1"/>
                <pt idx="0">
                  <v>394328</v>
                </pt>
              </strCache>
            </strRef>
          </tx>
          <spPr>
            <a:ln>
              <a:prstDash val="solid"/>
            </a:ln>
          </spPr>
          <marker>
            <symbol val="circle"/>
            <size val="7"/>
            <spPr>
              <a:ln>
                <a:prstDash val="solid"/>
              </a:ln>
            </spPr>
          </marker>
          <cat>
            <numRef>
              <f>Charts!$N$2:$N$5</f>
              <numCache>
                <formatCode>General</formatCod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</v>
                </pt>
              </numCache>
            </numRef>
          </cat>
          <val>
            <numRef>
              <f>Charts!$O$3:$O$5</f>
              <numCache>
                <formatCode>General</formatCode>
                <ptCount val="3"/>
                <pt idx="0">
                  <v>383285</v>
                </pt>
                <pt idx="1">
                  <v>391035</v>
                </pt>
                <pt idx="2">
                  <v>416161</v>
                </pt>
              </numCache>
            </numRef>
          </val>
          <smooth val="1"/>
        </ser>
        <ser>
          <idx val="1"/>
          <order val="1"/>
          <tx>
            <strRef>
              <f>Charts!$P$2</f>
              <strCache>
                <ptCount val="1"/>
                <pt idx="0">
                  <v>99803</v>
                </pt>
              </strCache>
            </strRef>
          </tx>
          <spPr>
            <a:ln>
              <a:prstDash val="solid"/>
            </a:ln>
          </spPr>
          <marker>
            <symbol val="circle"/>
            <size val="7"/>
            <spPr>
              <a:ln>
                <a:prstDash val="solid"/>
              </a:ln>
            </spPr>
          </marker>
          <cat>
            <numRef>
              <f>Charts!$N$2:$N$5</f>
              <numCache>
                <formatCode>General</formatCod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</v>
                </pt>
              </numCache>
            </numRef>
          </cat>
          <val>
            <numRef>
              <f>Charts!$P$3:$P$5</f>
              <numCache>
                <formatCode>General</formatCode>
                <ptCount val="3"/>
                <pt idx="0">
                  <v>96995</v>
                </pt>
                <pt idx="1">
                  <v>93736</v>
                </pt>
                <pt idx="2">
                  <v>112010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0"/>
        <axId val="100"/>
      </line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Year</a:t>
                </a:r>
              </a:p>
            </rich>
          </tx>
          <overlay val="1"/>
        </title>
        <numFmt formatCode="General" sourceLinked="1"/>
        <majorTickMark val="out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USD (Millions)</a:t>
                </a:r>
              </a:p>
            </rich>
          </tx>
          <overlay val="1"/>
        </title>
        <numFmt formatCode="General" sourceLinked="1"/>
        <majorTickMark val="out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 sz="2000"/>
              <a:t>Revenue and Net Income over Time</a:t>
            </a:r>
          </a:p>
        </rich>
      </tx>
      <overlay val="1"/>
    </title>
    <plotArea>
      <layout>
        <manualLayout>
          <layoutTarget val="inner"/>
          <xMode val="edge"/>
          <yMode val="edge"/>
          <wMode val="factor"/>
          <hMode val="factor"/>
          <x val="0.1573315277777778"/>
          <y val="0.1516944444444444"/>
          <w val="0.5766666666666668"/>
          <h val="0.6119444444444444"/>
        </manualLayout>
      </layout>
      <lineChart>
        <grouping val="standard"/>
        <varyColors val="1"/>
        <ser>
          <idx val="0"/>
          <order val="0"/>
          <tx>
            <strRef>
              <f>Charts!$O$1</f>
              <strCache>
                <ptCount val="1"/>
                <pt idx="0">
                  <v>Revenue</v>
                </pt>
              </strCache>
            </strRef>
          </tx>
          <spPr>
            <a:ln>
              <a:prstDash val="solid"/>
            </a:ln>
          </spPr>
          <marker>
            <symbol val="circle"/>
            <size val="7"/>
            <spPr>
              <a:ln>
                <a:prstDash val="solid"/>
              </a:ln>
            </spPr>
          </marker>
          <dLbls>
            <delete val="1"/>
          </dLbls>
          <cat>
            <numRef>
              <f>Charts!$N$2:$N$5</f>
              <numCache>
                <formatCode>General</formatCod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</v>
                </pt>
              </numCache>
            </numRef>
          </cat>
          <val>
            <numRef>
              <f>Charts!$O$2:$O$5</f>
              <numCache>
                <formatCode>General</formatCode>
                <ptCount val="4"/>
                <pt idx="0">
                  <v>394328</v>
                </pt>
                <pt idx="1">
                  <v>383285</v>
                </pt>
                <pt idx="2">
                  <v>391035</v>
                </pt>
                <pt idx="3">
                  <v>416161</v>
                </pt>
              </numCache>
            </numRef>
          </val>
          <smooth val="1"/>
        </ser>
        <dLbls>
          <dLblPos val="t"/>
          <showLegendKey val="0"/>
          <showVal val="1"/>
          <showCatName val="0"/>
          <showSerName val="0"/>
          <showPercent val="0"/>
          <showBubbleSize val="0"/>
        </dLbls>
        <marker val="1"/>
        <smooth val="0"/>
        <axId val="10"/>
        <axId val="100"/>
      </lineChart>
      <lineChart>
        <grouping val="standard"/>
        <varyColors val="1"/>
        <ser>
          <idx val="1"/>
          <order val="1"/>
          <tx>
            <strRef>
              <f>Charts!$P$1</f>
              <strCache>
                <ptCount val="1"/>
                <pt idx="0">
                  <v>Net Income</v>
                </pt>
              </strCache>
            </strRef>
          </tx>
          <spPr>
            <a:ln>
              <a:prstDash val="solid"/>
            </a:ln>
          </spPr>
          <marker>
            <symbol val="circle"/>
            <size val="7"/>
            <spPr>
              <a:ln>
                <a:prstDash val="solid"/>
              </a:ln>
            </spPr>
          </marker>
          <cat>
            <numRef>
              <f>Charts!$N$2:$N$5</f>
              <numCache>
                <formatCode>General</formatCod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</v>
                </pt>
              </numCache>
            </numRef>
          </cat>
          <val>
            <numRef>
              <f>Charts!$P$2:$P$5</f>
              <numCache>
                <formatCode>General</formatCode>
                <ptCount val="4"/>
                <pt idx="0">
                  <v>99803</v>
                </pt>
                <pt idx="1">
                  <v>96995</v>
                </pt>
                <pt idx="2">
                  <v>93736</v>
                </pt>
                <pt idx="3">
                  <v>112010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417795440"/>
        <axId val="1412871856"/>
      </lineChart>
      <catAx>
        <axId val="10"/>
        <scaling>
          <orientation val="minMax"/>
        </scaling>
        <delete val="0"/>
        <axPos val="b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 sz="1600"/>
                  <a:t>Year</a:t>
                </a:r>
              </a:p>
            </rich>
          </tx>
          <overlay val="0"/>
        </title>
        <numFmt formatCode="General" sourceLinked="0"/>
        <majorTickMark val="out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 sz="1600"/>
                  <a:t>USD</a:t>
                </a:r>
              </a:p>
            </rich>
          </tx>
          <overlay val="1"/>
        </title>
        <numFmt formatCode="&quot;$&quot;#,##0" sourceLinked="0"/>
        <majorTickMark val="in"/>
        <minorTickMark val="none"/>
        <tickLblPos val="nextTo"/>
        <spPr>
          <a:ln>
            <a:prstDash val="solid"/>
          </a:ln>
        </spPr>
        <crossAx val="10"/>
        <crosses val="autoZero"/>
        <crossBetween val="between"/>
      </valAx>
      <catAx>
        <axId val="1417795440"/>
        <scaling>
          <orientation val="minMax"/>
        </scaling>
        <delete val="1"/>
        <axPos val="b"/>
        <numFmt formatCode="General" sourceLinked="1"/>
        <majorTickMark val="out"/>
        <minorTickMark val="none"/>
        <tickLblPos val="nextTo"/>
        <crossAx val="1412871856"/>
        <auto val="1"/>
        <lblAlgn val="ctr"/>
        <lblOffset val="100"/>
        <noMultiLvlLbl val="0"/>
      </catAx>
      <valAx>
        <axId val="1412871856"/>
        <scaling>
          <orientation val="minMax"/>
        </scaling>
        <delete val="0"/>
        <axPos val="r"/>
        <numFmt formatCode="&quot;$&quot;#,##0" sourceLinked="0"/>
        <majorTickMark val="out"/>
        <minorTickMark val="none"/>
        <tickLblPos val="nextTo"/>
        <crossAx val="1417795440"/>
        <crosses val="max"/>
        <crossBetween val="between"/>
      </valAx>
    </plotArea>
    <legend>
      <legendPos val="r"/>
      <overlay val="1"/>
    </legend>
    <plotVisOnly val="1"/>
    <dispBlanksAs val="gap"/>
  </chart>
  <spPr>
    <a:ln>
      <a:solidFill>
        <a:schemeClr val="accent1">
          <a:alpha val="99000"/>
        </a:schemeClr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0</row>
      <rowOff>0</rowOff>
    </from>
    <ext cx="720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0</row>
      <rowOff>0</rowOff>
    </from>
    <ext cx="720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0</row>
      <rowOff>0</rowOff>
    </from>
    <ext cx="720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0</row>
      <rowOff>0</rowOff>
    </from>
    <ext cx="720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0</row>
      <rowOff>0</rowOff>
    </from>
    <ext cx="7200000" cy="36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0</row>
      <rowOff>0</rowOff>
    </from>
    <ext cx="7200000" cy="36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0</row>
      <rowOff>0</rowOff>
    </from>
    <ext cx="7200000" cy="36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0</col>
      <colOff>0</colOff>
      <row>0</row>
      <rowOff>0</rowOff>
    </from>
    <ext cx="7200000" cy="36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0</col>
      <colOff>0</colOff>
      <row>0</row>
      <rowOff>0</rowOff>
    </from>
    <ext cx="7200000" cy="36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</wsDr>
</file>

<file path=xl/tables/table1.xml><?xml version="1.0" encoding="utf-8"?>
<table xmlns="http://schemas.openxmlformats.org/spreadsheetml/2006/main" id="1" name="RatiosTable" displayName="RatiosTable" ref="A1:F5" headerRowCount="1">
  <autoFilter ref="A1:F5"/>
  <tableColumns count="6">
    <tableColumn id="1" name="Year"/>
    <tableColumn id="2" name="Current Ratio"/>
    <tableColumn id="3" name="Long-Term Debt Ratio"/>
    <tableColumn id="4" name="Profit Margin"/>
    <tableColumn id="5" name="ROA"/>
    <tableColumn id="6" name="Debt Ratio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4.25"/>
  <cols>
    <col width="10" customWidth="1" min="1" max="1"/>
    <col width="16" customWidth="1" min="2" max="2"/>
    <col width="22" customWidth="1" min="3" max="3"/>
    <col width="16" customWidth="1" min="4" max="4"/>
    <col width="12" customWidth="1" min="5" max="5"/>
    <col width="14" customWidth="1" min="6" max="6"/>
  </cols>
  <sheetData>
    <row r="1">
      <c r="A1" t="inlineStr">
        <is>
          <t>Year</t>
        </is>
      </c>
      <c r="B1" t="inlineStr">
        <is>
          <t>Current Ratio</t>
        </is>
      </c>
      <c r="C1" t="inlineStr">
        <is>
          <t>Long-Term Debt Ratio</t>
        </is>
      </c>
      <c r="D1" t="inlineStr">
        <is>
          <t>Profit Margin</t>
        </is>
      </c>
      <c r="E1" t="inlineStr">
        <is>
          <t>ROA</t>
        </is>
      </c>
      <c r="F1" t="inlineStr">
        <is>
          <t>Debt Ratio</t>
        </is>
      </c>
    </row>
    <row r="2">
      <c r="A2" t="n">
        <v>2022</v>
      </c>
      <c r="B2" s="1" t="n">
        <v>0.8793560286267226</v>
      </c>
      <c r="C2" s="2" t="n">
        <v>0.2805318138651472</v>
      </c>
      <c r="D2" s="2" t="n">
        <v>0.2530964070519973</v>
      </c>
      <c r="E2" s="2" t="n">
        <v>0.2829244092925685</v>
      </c>
      <c r="F2" s="2" t="n">
        <v>0.8563535598361469</v>
      </c>
    </row>
    <row r="3">
      <c r="A3" t="n">
        <v>2023</v>
      </c>
      <c r="B3" s="1" t="n">
        <v>0.9880116717592975</v>
      </c>
      <c r="C3" s="2" t="n">
        <v>0.2702370789289331</v>
      </c>
      <c r="D3" s="2" t="n">
        <v>0.2530623426432028</v>
      </c>
      <c r="E3" s="2" t="n">
        <v>0.2750983456377648</v>
      </c>
      <c r="F3" s="2" t="n">
        <v>0.8237407929480435</v>
      </c>
    </row>
    <row r="4">
      <c r="A4" t="n">
        <v>2024</v>
      </c>
      <c r="B4" s="1" t="n">
        <v>0.8673125765340832</v>
      </c>
      <c r="C4" s="2" t="n">
        <v>0.2349443805140008</v>
      </c>
      <c r="D4" s="2" t="n">
        <v>0.2397125576994387</v>
      </c>
      <c r="E4" s="2" t="n">
        <v>0.2568250315085758</v>
      </c>
      <c r="F4" s="2" t="n">
        <v>0.8439640528248123</v>
      </c>
    </row>
    <row r="5">
      <c r="A5" t="n">
        <v>2025</v>
      </c>
      <c r="B5" s="1" t="n">
        <v>0.8932929222186667</v>
      </c>
      <c r="C5" s="2" t="n">
        <v>0.2180374734509702</v>
      </c>
      <c r="D5" s="2" t="n">
        <v>0.2691506412181824</v>
      </c>
      <c r="E5" s="2" t="n">
        <v>0.3117962593356549</v>
      </c>
      <c r="F5" s="2" t="n">
        <v>0.7947533828265705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N1:P5"/>
  <sheetViews>
    <sheetView tabSelected="1" zoomScale="66" workbookViewId="0">
      <selection activeCell="N17" sqref="N17"/>
    </sheetView>
  </sheetViews>
  <sheetFormatPr baseColWidth="8" defaultRowHeight="14.25"/>
  <sheetData>
    <row r="1">
      <c r="N1" t="inlineStr">
        <is>
          <t>Year</t>
        </is>
      </c>
      <c r="O1" t="inlineStr">
        <is>
          <t>Revenue</t>
        </is>
      </c>
      <c r="P1" t="inlineStr">
        <is>
          <t>Net Income</t>
        </is>
      </c>
    </row>
    <row r="2">
      <c r="N2" t="n">
        <v>2022</v>
      </c>
      <c r="O2" t="n">
        <v>394328</v>
      </c>
      <c r="P2" t="n">
        <v>99803</v>
      </c>
    </row>
    <row r="3">
      <c r="N3" t="n">
        <v>2023</v>
      </c>
      <c r="O3" t="n">
        <v>383285</v>
      </c>
      <c r="P3" t="n">
        <v>96995</v>
      </c>
    </row>
    <row r="4">
      <c r="N4" t="n">
        <v>2024</v>
      </c>
      <c r="O4" t="n">
        <v>391035</v>
      </c>
      <c r="P4" t="n">
        <v>93736</v>
      </c>
    </row>
    <row r="5">
      <c r="N5" t="n">
        <v>2025</v>
      </c>
      <c r="O5" t="n">
        <v>416161</v>
      </c>
      <c r="P5" t="n">
        <v>112010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2026-09-02T17:54:15Z</dcterms:created>
  <dcterms:modified xsi:type="dcterms:W3CDTF">2026-09-02T19:39:35Z</dcterms:modified>
  <cp:lastModifiedBy>Benjamin Ayerbe</cp:lastModifiedBy>
</cp:coreProperties>
</file>